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9b4cc12311c12a/Documents/"/>
    </mc:Choice>
  </mc:AlternateContent>
  <xr:revisionPtr revIDLastSave="2" documentId="8_{CCE57A1F-B778-4E11-96C0-8C2297ED752B}" xr6:coauthVersionLast="47" xr6:coauthVersionMax="47" xr10:uidLastSave="{7BC000DB-12E1-40B4-86A4-03398873A3DB}"/>
  <bookViews>
    <workbookView xWindow="-110" yWindow="-110" windowWidth="19420" windowHeight="11500" xr2:uid="{F1F7F3B4-0523-480A-B4F7-14B8CCDFF34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49" i="1"/>
  <c r="D48" i="1"/>
  <c r="D47" i="1"/>
  <c r="D46" i="1"/>
  <c r="D45" i="1"/>
  <c r="D44" i="1"/>
  <c r="D43" i="1"/>
  <c r="D42" i="1"/>
  <c r="D41" i="1"/>
  <c r="F32" i="1"/>
  <c r="F31" i="1"/>
  <c r="F30" i="1"/>
  <c r="F29" i="1"/>
  <c r="F28" i="1"/>
  <c r="F27" i="1"/>
  <c r="F26" i="1"/>
  <c r="F25" i="1"/>
  <c r="F24" i="1"/>
  <c r="F23" i="1"/>
  <c r="E32" i="1"/>
  <c r="E31" i="1"/>
  <c r="E30" i="1"/>
  <c r="E29" i="1"/>
  <c r="E28" i="1"/>
  <c r="E27" i="1"/>
  <c r="E26" i="1"/>
  <c r="E25" i="1"/>
  <c r="E24" i="1"/>
  <c r="E23" i="1"/>
  <c r="D32" i="1"/>
  <c r="D31" i="1"/>
  <c r="D30" i="1"/>
  <c r="D29" i="1"/>
  <c r="D28" i="1"/>
  <c r="D27" i="1"/>
  <c r="D26" i="1"/>
  <c r="D25" i="1"/>
  <c r="D24" i="1"/>
  <c r="D23" i="1"/>
  <c r="C32" i="1"/>
  <c r="C31" i="1"/>
  <c r="C30" i="1"/>
  <c r="G30" i="1" s="1"/>
  <c r="H30" i="1" s="1"/>
  <c r="C29" i="1"/>
  <c r="G29" i="1" s="1"/>
  <c r="H29" i="1" s="1"/>
  <c r="C28" i="1"/>
  <c r="G28" i="1" s="1"/>
  <c r="H28" i="1" s="1"/>
  <c r="C27" i="1"/>
  <c r="G27" i="1" s="1"/>
  <c r="H27" i="1" s="1"/>
  <c r="C26" i="1"/>
  <c r="G26" i="1" s="1"/>
  <c r="H26" i="1" s="1"/>
  <c r="C25" i="1"/>
  <c r="G25" i="1" s="1"/>
  <c r="H25" i="1" s="1"/>
  <c r="C24" i="1"/>
  <c r="G24" i="1" s="1"/>
  <c r="H24" i="1" s="1"/>
  <c r="C23" i="1"/>
  <c r="G23" i="1" s="1"/>
  <c r="H23" i="1" s="1"/>
  <c r="B32" i="1"/>
  <c r="B31" i="1"/>
  <c r="B30" i="1"/>
  <c r="B29" i="1"/>
  <c r="B28" i="1"/>
  <c r="B27" i="1"/>
  <c r="B26" i="1"/>
  <c r="B25" i="1"/>
  <c r="B24" i="1"/>
  <c r="B23" i="1"/>
  <c r="G32" i="1" l="1"/>
  <c r="H32" i="1" s="1"/>
  <c r="G31" i="1"/>
  <c r="H31" i="1" s="1"/>
</calcChain>
</file>

<file path=xl/sharedStrings.xml><?xml version="1.0" encoding="utf-8"?>
<sst xmlns="http://schemas.openxmlformats.org/spreadsheetml/2006/main" count="104" uniqueCount="32">
  <si>
    <t>Pasien</t>
  </si>
  <si>
    <t>Usia</t>
  </si>
  <si>
    <t xml:space="preserve"> BMI</t>
  </si>
  <si>
    <t>Glukosa</t>
  </si>
  <si>
    <t xml:space="preserve"> Tekanan Darah</t>
  </si>
  <si>
    <t>Riwayat Keluarga</t>
  </si>
  <si>
    <t>Kelas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</si>
  <si>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</si>
  <si>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</si>
  <si>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</si>
  <si>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</si>
  <si>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</si>
  <si>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</si>
  <si>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</si>
  <si>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</si>
  <si>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</si>
  <si>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</si>
  <si>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Rendah</t>
  </si>
  <si>
    <t>Tinggi</t>
  </si>
  <si>
    <t>Riwayat Keluarga : 0 = Tidak ada ; 1 = Ada</t>
  </si>
  <si>
    <t>DATA SET</t>
  </si>
  <si>
    <t>DATA PASIEN BARU</t>
  </si>
  <si>
    <t>PERHITUNGAN JARAK</t>
  </si>
  <si>
    <t>Jumlah</t>
  </si>
  <si>
    <t>Jarak</t>
  </si>
  <si>
    <t xml:space="preserve">Usia, BMI, Glukosa, Tekanan Darah, Riwayat Keluarga = (data lama - data baru)^2 </t>
  </si>
  <si>
    <t>Jumlah = SUM ( Usia, BMI, Glukosa, Tekanan Darah, Riwayat Keluarga)</t>
  </si>
  <si>
    <t>Jarak = SQRT (jumlah)</t>
  </si>
  <si>
    <t>Peringkat</t>
  </si>
  <si>
    <t>URUTAN TETANGGA</t>
  </si>
  <si>
    <t>Target</t>
  </si>
  <si>
    <t>Jika yang di pilih adalah K = 3, Hasilnya = 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</si>
</sst>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D655-7832-4573-89C5-F5FCC2A5696B}">
  <dimension ref="A1:K56"/>
  <sheetViews>
    <sheetView tabSelected="1" topLeftCell="A4" zoomScale="60" workbookViewId="0">
      <selection activeCell="H37" sqref="H37"/>
    </sheetView>
  </sheetViews>
  <sheetFormatPr defaultRowHeight="14.5" x14ac:dyDescent="0.35"/>
  <cols>
    <col min="1" max="1" width="11" customWidth="1"/>
    <col min="2" max="2" width="15.54296875" customWidth="1"/>
    <col min="3" max="3" width="16" customWidth="1"/>
    <col min="4" max="4" width="14.54296875" customWidth="1"/>
    <col min="5" max="5" width="20.54296875" customWidth="1"/>
    <col min="6" max="6" width="20.90625" customWidth="1"/>
    <col min="7" max="7" width="20.81640625" customWidth="1"/>
    <col min="8" max="8" width="19.6328125" customWidth="1"/>
    <col min="9" max="9" width="14.81640625" customWidth="1"/>
    <col min="10" max="10" width="16" customWidth="1"/>
    <col min="11" max="11" width="12.6328125" customWidth="1"/>
  </cols>
  <sheetData>
    <row r="1" spans="1:7" ht="17.5" x14ac:dyDescent="0.35">
      <c r="A1" s="5" t="s">
        <v>20</v>
      </c>
      <c r="B1" s="5"/>
      <c r="C1" s="5"/>
      <c r="D1" s="5"/>
      <c r="E1" s="5"/>
      <c r="F1" s="5"/>
      <c r="G1" s="5"/>
    </row>
    <row r="2" spans="1:7" ht="18" x14ac:dyDescent="0.4">
      <c r="A2" s="1"/>
      <c r="B2" s="1"/>
      <c r="C2" s="1"/>
      <c r="D2" s="1"/>
      <c r="E2" s="1"/>
      <c r="F2" s="1"/>
      <c r="G2" s="1"/>
    </row>
    <row r="3" spans="1:7" ht="29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8" x14ac:dyDescent="0.4">
      <c r="A4" s="3" t="s">
        <v>7</v>
      </c>
      <c r="B4" s="3">
        <v>25</v>
      </c>
      <c r="C4" s="3">
        <v>21.5</v>
      </c>
      <c r="D4" s="3">
        <v>90</v>
      </c>
      <c r="E4" s="3">
        <v>110</v>
      </c>
      <c r="F4" s="3">
        <v>0</v>
      </c>
      <c r="G4" s="3" t="s">
        <v>17</v>
      </c>
    </row>
    <row r="5" spans="1:7" ht="18" x14ac:dyDescent="0.4">
      <c r="A5" s="3" t="s">
        <v>8</v>
      </c>
      <c r="B5" s="3">
        <v>30</v>
      </c>
      <c r="C5" s="3">
        <v>23.1</v>
      </c>
      <c r="D5" s="3">
        <v>95</v>
      </c>
      <c r="E5" s="3">
        <v>115</v>
      </c>
      <c r="F5" s="3">
        <v>0</v>
      </c>
      <c r="G5" s="3" t="s">
        <v>17</v>
      </c>
    </row>
    <row r="6" spans="1:7" ht="18" x14ac:dyDescent="0.4">
      <c r="A6" s="3" t="s">
        <v>9</v>
      </c>
      <c r="B6" s="3">
        <v>35</v>
      </c>
      <c r="C6" s="3">
        <v>25</v>
      </c>
      <c r="D6" s="3">
        <v>105</v>
      </c>
      <c r="E6" s="3">
        <v>120</v>
      </c>
      <c r="F6" s="3">
        <v>0</v>
      </c>
      <c r="G6" s="3" t="s">
        <v>17</v>
      </c>
    </row>
    <row r="7" spans="1:7" ht="18" x14ac:dyDescent="0.4">
      <c r="A7" s="3" t="s">
        <v>10</v>
      </c>
      <c r="B7" s="3">
        <v>40</v>
      </c>
      <c r="C7" s="3">
        <v>27.5</v>
      </c>
      <c r="D7" s="3">
        <v>120</v>
      </c>
      <c r="E7" s="3">
        <v>125</v>
      </c>
      <c r="F7" s="3">
        <v>1</v>
      </c>
      <c r="G7" s="3" t="s">
        <v>18</v>
      </c>
    </row>
    <row r="8" spans="1:7" ht="18" x14ac:dyDescent="0.4">
      <c r="A8" s="3" t="s">
        <v>11</v>
      </c>
      <c r="B8" s="3">
        <v>45</v>
      </c>
      <c r="C8" s="3">
        <v>30.2</v>
      </c>
      <c r="D8" s="3">
        <v>140</v>
      </c>
      <c r="E8" s="3">
        <v>135</v>
      </c>
      <c r="F8" s="3">
        <v>1</v>
      </c>
      <c r="G8" s="3" t="s">
        <v>18</v>
      </c>
    </row>
    <row r="9" spans="1:7" ht="18" x14ac:dyDescent="0.4">
      <c r="A9" s="3" t="s">
        <v>12</v>
      </c>
      <c r="B9" s="3">
        <v>50</v>
      </c>
      <c r="C9" s="3">
        <v>31.5</v>
      </c>
      <c r="D9" s="3">
        <v>155</v>
      </c>
      <c r="E9" s="3">
        <v>120</v>
      </c>
      <c r="F9" s="3">
        <v>1</v>
      </c>
      <c r="G9" s="3" t="s">
        <v>18</v>
      </c>
    </row>
    <row r="10" spans="1:7" ht="18" x14ac:dyDescent="0.4">
      <c r="A10" s="3" t="s">
        <v>13</v>
      </c>
      <c r="B10" s="3">
        <v>44</v>
      </c>
      <c r="C10" s="3">
        <v>33</v>
      </c>
      <c r="D10" s="3">
        <v>165</v>
      </c>
      <c r="E10" s="3">
        <v>145</v>
      </c>
      <c r="F10" s="3">
        <v>1</v>
      </c>
      <c r="G10" s="3" t="s">
        <v>18</v>
      </c>
    </row>
    <row r="11" spans="1:7" ht="18" x14ac:dyDescent="0.4">
      <c r="A11" s="3" t="s">
        <v>14</v>
      </c>
      <c r="B11" s="3">
        <v>28</v>
      </c>
      <c r="C11" s="3">
        <v>22.5</v>
      </c>
      <c r="D11" s="3">
        <v>92</v>
      </c>
      <c r="E11" s="3">
        <v>112</v>
      </c>
      <c r="F11" s="3">
        <v>0</v>
      </c>
      <c r="G11" s="3" t="s">
        <v>17</v>
      </c>
    </row>
    <row r="12" spans="1:7" ht="18" x14ac:dyDescent="0.4">
      <c r="A12" s="3" t="s">
        <v>15</v>
      </c>
      <c r="B12" s="3">
        <v>38</v>
      </c>
      <c r="C12" s="3">
        <v>26.8</v>
      </c>
      <c r="D12" s="3">
        <v>115</v>
      </c>
      <c r="E12" s="3">
        <v>122</v>
      </c>
      <c r="F12" s="3">
        <v>0</v>
      </c>
      <c r="G12" s="3" t="s">
        <v>17</v>
      </c>
    </row>
    <row r="13" spans="1:7" ht="18" x14ac:dyDescent="0.4">
      <c r="A13" s="3" t="s">
        <v>16</v>
      </c>
      <c r="B13" s="3">
        <v>48</v>
      </c>
      <c r="C13" s="3">
        <v>29.5</v>
      </c>
      <c r="D13" s="3">
        <v>145</v>
      </c>
      <c r="E13" s="3">
        <v>130</v>
      </c>
      <c r="F13" s="3">
        <v>1</v>
      </c>
      <c r="G13" s="3" t="s">
        <v>18</v>
      </c>
    </row>
    <row r="14" spans="1:7" ht="18" x14ac:dyDescent="0.4">
      <c r="A14" s="4" t="s">
        <v>19</v>
      </c>
      <c r="B14" s="4"/>
      <c r="C14" s="4"/>
      <c r="D14" s="4"/>
      <c r="E14" s="4"/>
      <c r="F14" s="4"/>
      <c r="G14" s="1"/>
    </row>
    <row r="16" spans="1:7" ht="17.5" x14ac:dyDescent="0.35">
      <c r="A16" s="5" t="s">
        <v>21</v>
      </c>
      <c r="B16" s="5"/>
      <c r="C16" s="5"/>
      <c r="D16" s="5"/>
      <c r="E16" s="5"/>
      <c r="F16" s="5"/>
      <c r="G16" s="5"/>
    </row>
    <row r="17" spans="1:11" ht="18" x14ac:dyDescent="0.35"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</row>
    <row r="18" spans="1:11" ht="18" x14ac:dyDescent="0.4">
      <c r="B18" s="3">
        <v>42</v>
      </c>
      <c r="C18" s="3">
        <v>28.5</v>
      </c>
      <c r="D18" s="3">
        <v>130</v>
      </c>
      <c r="E18" s="3">
        <v>128</v>
      </c>
      <c r="F18" s="3">
        <v>1</v>
      </c>
    </row>
    <row r="20" spans="1:11" ht="17.5" x14ac:dyDescent="0.35">
      <c r="A20" s="5" t="s">
        <v>22</v>
      </c>
      <c r="B20" s="5"/>
      <c r="C20" s="5"/>
      <c r="D20" s="5"/>
      <c r="E20" s="5"/>
      <c r="F20" s="5"/>
      <c r="G20" s="5"/>
    </row>
    <row r="22" spans="1:11" ht="18" x14ac:dyDescent="0.3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23</v>
      </c>
      <c r="H22" s="2" t="s">
        <v>24</v>
      </c>
      <c r="I22" s="2" t="s">
        <v>28</v>
      </c>
      <c r="J22" s="2" t="s">
        <v>6</v>
      </c>
      <c r="K22" s="2" t="s">
        <v>30</v>
      </c>
    </row>
    <row r="23" spans="1:11" ht="18" x14ac:dyDescent="0.4">
      <c r="A23" s="3" t="s">
        <v>7</v>
      </c>
      <c r="B23" s="3">
        <f>(B4-B18)^2</f>
        <v>289</v>
      </c>
      <c r="C23" s="6">
        <f>(C4-C18)^2</f>
        <v>49</v>
      </c>
      <c r="D23" s="3">
        <f>(D4-D18)^2</f>
        <v>1600</v>
      </c>
      <c r="E23" s="3">
        <f>(E4-E18)^2</f>
        <v>324</v>
      </c>
      <c r="F23" s="3">
        <f>(F4-F18)^2</f>
        <v>1</v>
      </c>
      <c r="G23" s="3">
        <f>SUM(B23:F23)</f>
        <v>2263</v>
      </c>
      <c r="H23" s="3">
        <f>SQRT(G23)</f>
        <v>47.570999569065187</v>
      </c>
      <c r="I23" s="3">
        <v>10</v>
      </c>
      <c r="J23" s="3" t="s">
        <v>17</v>
      </c>
      <c r="K23" s="3">
        <v>0</v>
      </c>
    </row>
    <row r="24" spans="1:11" ht="18" x14ac:dyDescent="0.4">
      <c r="A24" s="3" t="s">
        <v>8</v>
      </c>
      <c r="B24" s="3">
        <f>(B5-B18)^2</f>
        <v>144</v>
      </c>
      <c r="C24" s="6">
        <f>(C5-C18)^2</f>
        <v>29.159999999999986</v>
      </c>
      <c r="D24" s="3">
        <f>(D5-D18)^2</f>
        <v>1225</v>
      </c>
      <c r="E24" s="3">
        <f>(E5-E18)^2</f>
        <v>169</v>
      </c>
      <c r="F24" s="3">
        <f>(F5-F18)^2</f>
        <v>1</v>
      </c>
      <c r="G24" s="3">
        <f t="shared" ref="G24:G32" si="0">SUM(B24:F24)</f>
        <v>1568.16</v>
      </c>
      <c r="H24" s="3">
        <f t="shared" ref="H24:H32" si="1">SQRT(G24)</f>
        <v>39.6</v>
      </c>
      <c r="I24" s="3">
        <v>8</v>
      </c>
      <c r="J24" s="3" t="s">
        <v>17</v>
      </c>
      <c r="K24" s="3">
        <v>0</v>
      </c>
    </row>
    <row r="25" spans="1:11" ht="18" x14ac:dyDescent="0.4">
      <c r="A25" s="3" t="s">
        <v>9</v>
      </c>
      <c r="B25" s="3">
        <f>(B6-B18)^2</f>
        <v>49</v>
      </c>
      <c r="C25" s="6">
        <f>(C6-C18)^2</f>
        <v>12.25</v>
      </c>
      <c r="D25" s="3">
        <f>(D6-D18)^2</f>
        <v>625</v>
      </c>
      <c r="E25" s="3">
        <f>(E6-E18)^2</f>
        <v>64</v>
      </c>
      <c r="F25" s="3">
        <f>(F6-F18)^2</f>
        <v>1</v>
      </c>
      <c r="G25" s="3">
        <f t="shared" si="0"/>
        <v>751.25</v>
      </c>
      <c r="H25" s="3">
        <f t="shared" si="1"/>
        <v>27.408940147331492</v>
      </c>
      <c r="I25" s="3">
        <v>5</v>
      </c>
      <c r="J25" s="3" t="s">
        <v>17</v>
      </c>
      <c r="K25" s="3">
        <v>0</v>
      </c>
    </row>
    <row r="26" spans="1:11" ht="18" x14ac:dyDescent="0.4">
      <c r="A26" s="8" t="s">
        <v>10</v>
      </c>
      <c r="B26" s="8">
        <f>(B7-B18)^2</f>
        <v>4</v>
      </c>
      <c r="C26" s="9">
        <f>(C7-C18)^2</f>
        <v>1</v>
      </c>
      <c r="D26" s="8">
        <f>(D7-D18)^2</f>
        <v>100</v>
      </c>
      <c r="E26" s="8">
        <f>(E7-E18)^2</f>
        <v>9</v>
      </c>
      <c r="F26" s="8">
        <f>(F7-F18)^2</f>
        <v>0</v>
      </c>
      <c r="G26" s="8">
        <f t="shared" si="0"/>
        <v>114</v>
      </c>
      <c r="H26" s="8">
        <f t="shared" si="1"/>
        <v>10.677078252031311</v>
      </c>
      <c r="I26" s="8">
        <v>1</v>
      </c>
      <c r="J26" s="8" t="s">
        <v>18</v>
      </c>
      <c r="K26" s="8">
        <v>1</v>
      </c>
    </row>
    <row r="27" spans="1:11" ht="18" x14ac:dyDescent="0.4">
      <c r="A27" s="8" t="s">
        <v>11</v>
      </c>
      <c r="B27" s="8">
        <f>(B8-B18)^2</f>
        <v>9</v>
      </c>
      <c r="C27" s="9">
        <f>(C8-C18)^2</f>
        <v>2.8899999999999975</v>
      </c>
      <c r="D27" s="8">
        <f>(D8-D18)^2</f>
        <v>100</v>
      </c>
      <c r="E27" s="8">
        <f>(E8-E18)^2</f>
        <v>49</v>
      </c>
      <c r="F27" s="8">
        <f>(F8-F18)^2</f>
        <v>0</v>
      </c>
      <c r="G27" s="8">
        <f t="shared" si="0"/>
        <v>160.88999999999999</v>
      </c>
      <c r="H27" s="8">
        <f t="shared" si="1"/>
        <v>12.684242192578948</v>
      </c>
      <c r="I27" s="8">
        <v>2</v>
      </c>
      <c r="J27" s="8" t="s">
        <v>18</v>
      </c>
      <c r="K27" s="8">
        <v>1</v>
      </c>
    </row>
    <row r="28" spans="1:11" ht="18" x14ac:dyDescent="0.4">
      <c r="A28" s="3" t="s">
        <v>12</v>
      </c>
      <c r="B28" s="3">
        <f>(B9-B18)^2</f>
        <v>64</v>
      </c>
      <c r="C28" s="6">
        <f>(C9-C18)^2</f>
        <v>9</v>
      </c>
      <c r="D28" s="3">
        <f>(D9-D18)^2</f>
        <v>625</v>
      </c>
      <c r="E28" s="3">
        <f>(E9-E18)^2</f>
        <v>64</v>
      </c>
      <c r="F28" s="3">
        <f>(F9-F18)^2</f>
        <v>0</v>
      </c>
      <c r="G28" s="3">
        <f t="shared" si="0"/>
        <v>762</v>
      </c>
      <c r="H28" s="3">
        <f t="shared" si="1"/>
        <v>27.604347483684521</v>
      </c>
      <c r="I28" s="3">
        <v>6</v>
      </c>
      <c r="J28" s="3" t="s">
        <v>18</v>
      </c>
      <c r="K28" s="3">
        <v>1</v>
      </c>
    </row>
    <row r="29" spans="1:11" ht="18" x14ac:dyDescent="0.4">
      <c r="A29" s="3" t="s">
        <v>13</v>
      </c>
      <c r="B29" s="3">
        <f>(B10-B18)^2</f>
        <v>4</v>
      </c>
      <c r="C29" s="6">
        <f>(C10-C18)^2</f>
        <v>20.25</v>
      </c>
      <c r="D29" s="3">
        <f>(D10-D18)^2</f>
        <v>1225</v>
      </c>
      <c r="E29" s="3">
        <f>(E10-E18)^2</f>
        <v>289</v>
      </c>
      <c r="F29" s="3">
        <f>(F10-F18)^2</f>
        <v>0</v>
      </c>
      <c r="G29" s="3">
        <f t="shared" si="0"/>
        <v>1538.25</v>
      </c>
      <c r="H29" s="3">
        <f t="shared" si="1"/>
        <v>39.220530338076763</v>
      </c>
      <c r="I29" s="3">
        <v>7</v>
      </c>
      <c r="J29" s="3" t="s">
        <v>18</v>
      </c>
      <c r="K29" s="3">
        <v>1</v>
      </c>
    </row>
    <row r="30" spans="1:11" ht="18" x14ac:dyDescent="0.4">
      <c r="A30" s="3" t="s">
        <v>14</v>
      </c>
      <c r="B30" s="3">
        <f>(B11-B18)^2</f>
        <v>196</v>
      </c>
      <c r="C30" s="6">
        <f>(C11-C18)^2</f>
        <v>36</v>
      </c>
      <c r="D30" s="3">
        <f>(D11-D18)^2</f>
        <v>1444</v>
      </c>
      <c r="E30" s="3">
        <f>(E11-E18)^2</f>
        <v>256</v>
      </c>
      <c r="F30" s="3">
        <f>(F11-F18)^2</f>
        <v>1</v>
      </c>
      <c r="G30" s="3">
        <f t="shared" si="0"/>
        <v>1933</v>
      </c>
      <c r="H30" s="3">
        <f t="shared" si="1"/>
        <v>43.965895873961216</v>
      </c>
      <c r="I30" s="3">
        <v>9</v>
      </c>
      <c r="J30" s="3" t="s">
        <v>17</v>
      </c>
      <c r="K30" s="3">
        <v>0</v>
      </c>
    </row>
    <row r="31" spans="1:11" ht="18" x14ac:dyDescent="0.4">
      <c r="A31" s="3" t="s">
        <v>15</v>
      </c>
      <c r="B31" s="3">
        <f>(B12-B18)^2</f>
        <v>16</v>
      </c>
      <c r="C31" s="6">
        <f>(C12-C18)^2</f>
        <v>2.8899999999999975</v>
      </c>
      <c r="D31" s="3">
        <f>(D12-D18)^2</f>
        <v>225</v>
      </c>
      <c r="E31" s="3">
        <f>(E12-E18)^2</f>
        <v>36</v>
      </c>
      <c r="F31" s="3">
        <f>(F12-F18)^2</f>
        <v>1</v>
      </c>
      <c r="G31" s="3">
        <f t="shared" si="0"/>
        <v>280.89</v>
      </c>
      <c r="H31" s="3">
        <f t="shared" si="1"/>
        <v>16.759773268156106</v>
      </c>
      <c r="I31" s="3">
        <v>4</v>
      </c>
      <c r="J31" s="3" t="s">
        <v>17</v>
      </c>
      <c r="K31" s="3">
        <v>0</v>
      </c>
    </row>
    <row r="32" spans="1:11" ht="18" x14ac:dyDescent="0.4">
      <c r="A32" s="8" t="s">
        <v>16</v>
      </c>
      <c r="B32" s="8">
        <f>(B13-B18)^2</f>
        <v>36</v>
      </c>
      <c r="C32" s="9">
        <f>(C13-C18)^2</f>
        <v>1</v>
      </c>
      <c r="D32" s="8">
        <f>(D13-D18)^2</f>
        <v>225</v>
      </c>
      <c r="E32" s="8">
        <f>(E13-E18)^2</f>
        <v>4</v>
      </c>
      <c r="F32" s="8">
        <f>(F13-F18)^2</f>
        <v>0</v>
      </c>
      <c r="G32" s="8">
        <f t="shared" si="0"/>
        <v>266</v>
      </c>
      <c r="H32" s="8">
        <f t="shared" si="1"/>
        <v>16.30950643030009</v>
      </c>
      <c r="I32" s="8">
        <v>3</v>
      </c>
      <c r="J32" s="8" t="s">
        <v>18</v>
      </c>
      <c r="K32" s="8">
        <v>1</v>
      </c>
    </row>
    <row r="34" spans="1:7" ht="18" x14ac:dyDescent="0.35">
      <c r="A34" s="7" t="s">
        <v>25</v>
      </c>
      <c r="B34" s="7"/>
      <c r="C34" s="7"/>
      <c r="D34" s="7"/>
      <c r="E34" s="7"/>
      <c r="F34" s="7"/>
    </row>
    <row r="35" spans="1:7" ht="18" x14ac:dyDescent="0.35">
      <c r="A35" s="7" t="s">
        <v>26</v>
      </c>
      <c r="B35" s="7"/>
      <c r="C35" s="7"/>
      <c r="D35" s="7"/>
      <c r="E35" s="7"/>
      <c r="F35" s="7"/>
    </row>
    <row r="36" spans="1:7" ht="18" x14ac:dyDescent="0.35">
      <c r="A36" s="7" t="s">
        <v>27</v>
      </c>
      <c r="B36" s="7"/>
      <c r="C36" s="7"/>
      <c r="D36" s="7"/>
      <c r="E36" s="7"/>
      <c r="F36" s="7"/>
    </row>
    <row r="38" spans="1:7" ht="17.5" x14ac:dyDescent="0.35">
      <c r="A38" s="5" t="s">
        <v>29</v>
      </c>
      <c r="B38" s="5"/>
      <c r="C38" s="5"/>
      <c r="D38" s="5"/>
      <c r="E38" s="5"/>
      <c r="F38" s="5"/>
      <c r="G38" s="5"/>
    </row>
    <row r="40" spans="1:7" ht="18" x14ac:dyDescent="0.35">
      <c r="A40" s="2" t="s">
        <v>28</v>
      </c>
      <c r="B40" s="2" t="s">
        <v>0</v>
      </c>
      <c r="C40" s="2" t="s">
        <v>23</v>
      </c>
      <c r="D40" s="2" t="s">
        <v>24</v>
      </c>
      <c r="E40" s="2" t="s">
        <v>6</v>
      </c>
    </row>
    <row r="41" spans="1:7" ht="18" x14ac:dyDescent="0.4">
      <c r="A41" s="8">
        <v>1</v>
      </c>
      <c r="B41" s="8" t="s">
        <v>10</v>
      </c>
      <c r="C41" s="8">
        <v>114</v>
      </c>
      <c r="D41" s="8">
        <f>SQRT(C41)</f>
        <v>10.677078252031311</v>
      </c>
      <c r="E41" s="8" t="s">
        <v>18</v>
      </c>
    </row>
    <row r="42" spans="1:7" ht="18" x14ac:dyDescent="0.4">
      <c r="A42" s="8">
        <v>2</v>
      </c>
      <c r="B42" s="8" t="s">
        <v>11</v>
      </c>
      <c r="C42" s="8">
        <v>160.88999999999999</v>
      </c>
      <c r="D42" s="8">
        <f>SQRT(C42)</f>
        <v>12.684242192578948</v>
      </c>
      <c r="E42" s="8" t="s">
        <v>18</v>
      </c>
    </row>
    <row r="43" spans="1:7" ht="18" x14ac:dyDescent="0.4">
      <c r="A43" s="8">
        <v>3</v>
      </c>
      <c r="B43" s="8" t="s">
        <v>16</v>
      </c>
      <c r="C43" s="8">
        <v>266</v>
      </c>
      <c r="D43" s="8">
        <f>SQRT(C43)</f>
        <v>16.30950643030009</v>
      </c>
      <c r="E43" s="8" t="s">
        <v>18</v>
      </c>
    </row>
    <row r="44" spans="1:7" ht="18" x14ac:dyDescent="0.4">
      <c r="A44" s="3">
        <v>4</v>
      </c>
      <c r="B44" s="3" t="s">
        <v>15</v>
      </c>
      <c r="C44" s="3">
        <v>280.89</v>
      </c>
      <c r="D44" s="3">
        <f>SQRT(C44)</f>
        <v>16.759773268156106</v>
      </c>
      <c r="E44" s="3" t="s">
        <v>17</v>
      </c>
    </row>
    <row r="45" spans="1:7" ht="18" x14ac:dyDescent="0.4">
      <c r="A45" s="3">
        <v>5</v>
      </c>
      <c r="B45" s="3" t="s">
        <v>9</v>
      </c>
      <c r="C45" s="3">
        <v>751.25</v>
      </c>
      <c r="D45" s="3">
        <f>SQRT(C45)</f>
        <v>27.408940147331492</v>
      </c>
      <c r="E45" s="3" t="s">
        <v>17</v>
      </c>
    </row>
    <row r="46" spans="1:7" ht="18" x14ac:dyDescent="0.4">
      <c r="A46" s="3">
        <v>6</v>
      </c>
      <c r="B46" s="3" t="s">
        <v>12</v>
      </c>
      <c r="C46" s="3">
        <v>762</v>
      </c>
      <c r="D46" s="3">
        <f>SQRT(C46)</f>
        <v>27.604347483684521</v>
      </c>
      <c r="E46" s="3" t="s">
        <v>18</v>
      </c>
    </row>
    <row r="47" spans="1:7" ht="18" x14ac:dyDescent="0.4">
      <c r="A47" s="3">
        <v>7</v>
      </c>
      <c r="B47" s="3" t="s">
        <v>13</v>
      </c>
      <c r="C47" s="3">
        <v>1538.25</v>
      </c>
      <c r="D47" s="3">
        <f>SQRT(C47)</f>
        <v>39.220530338076763</v>
      </c>
      <c r="E47" s="3" t="s">
        <v>18</v>
      </c>
    </row>
    <row r="48" spans="1:7" ht="18" x14ac:dyDescent="0.4">
      <c r="A48" s="3">
        <v>8</v>
      </c>
      <c r="B48" s="3" t="s">
        <v>8</v>
      </c>
      <c r="C48" s="3">
        <v>1568.16</v>
      </c>
      <c r="D48" s="3">
        <f>SQRT(C48)</f>
        <v>39.6</v>
      </c>
      <c r="E48" s="3" t="s">
        <v>17</v>
      </c>
    </row>
    <row r="49" spans="1:7" ht="18" x14ac:dyDescent="0.4">
      <c r="A49" s="3">
        <v>9</v>
      </c>
      <c r="B49" s="3" t="s">
        <v>14</v>
      </c>
      <c r="C49" s="3">
        <v>1933</v>
      </c>
      <c r="D49" s="3">
        <f>SQRT(C49)</f>
        <v>43.965895873961216</v>
      </c>
      <c r="E49" s="3" t="s">
        <v>17</v>
      </c>
    </row>
    <row r="50" spans="1:7" ht="18" x14ac:dyDescent="0.4">
      <c r="A50" s="3">
        <v>10</v>
      </c>
      <c r="B50" s="3" t="s">
        <v>7</v>
      </c>
      <c r="C50" s="3">
        <v>2263</v>
      </c>
      <c r="D50" s="3">
        <f>SQRT(C50)</f>
        <v>47.570999569065187</v>
      </c>
      <c r="E50" s="3" t="s">
        <v>17</v>
      </c>
    </row>
    <row r="52" spans="1:7" ht="18" x14ac:dyDescent="0.35">
      <c r="A52" s="7" t="s">
        <v>31</v>
      </c>
      <c r="B52" s="7"/>
      <c r="C52" s="7"/>
      <c r="D52" s="7"/>
      <c r="E52" s="7"/>
      <c r="F52" s="7"/>
    </row>
    <row r="55" spans="1:7" ht="18" x14ac:dyDescent="0.35">
      <c r="B55" s="2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</row>
    <row r="56" spans="1:7" ht="18" x14ac:dyDescent="0.4">
      <c r="B56" s="3">
        <v>42</v>
      </c>
      <c r="C56" s="3">
        <v>28.5</v>
      </c>
      <c r="D56" s="3">
        <v>130</v>
      </c>
      <c r="E56" s="3">
        <v>128</v>
      </c>
      <c r="F56" s="3">
        <v>1</v>
      </c>
      <c r="G56" s="3" t="s">
        <v>18</v>
      </c>
    </row>
  </sheetData>
  <sortState xmlns:xlrd2="http://schemas.microsoft.com/office/spreadsheetml/2017/richdata2" ref="A41:D50">
    <sortCondition ref="D41:D50"/>
  </sortState>
  <mergeCells count="9">
    <mergeCell ref="A35:F35"/>
    <mergeCell ref="A36:F36"/>
    <mergeCell ref="A38:G38"/>
    <mergeCell ref="A52:F52"/>
    <mergeCell ref="A1:G1"/>
    <mergeCell ref="A14:F14"/>
    <mergeCell ref="A16:G16"/>
    <mergeCell ref="A20:G20"/>
    <mergeCell ref="A34:F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rra rra</dc:creator>
  <cp:lastModifiedBy>rra rra</cp:lastModifiedBy>
  <dcterms:created xsi:type="dcterms:W3CDTF">2026-10-10T03:37:17Z</dcterms:created>
  <dcterms:modified xsi:type="dcterms:W3CDTF">2026-10-10T05:47:55Z</dcterms:modified>
</cp:coreProperties>
</file>